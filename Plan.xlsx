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ando\Downloads\"/>
    </mc:Choice>
  </mc:AlternateContent>
  <xr:revisionPtr revIDLastSave="0" documentId="13_ncr:1_{3A95B2EC-FB8F-414C-84A5-63D18EBDB2E8}" xr6:coauthVersionLast="47" xr6:coauthVersionMax="47" xr10:uidLastSave="{00000000-0000-0000-0000-000000000000}"/>
  <bookViews>
    <workbookView xWindow="-98" yWindow="-98" windowWidth="21795" windowHeight="12975" xr2:uid="{FD2E22E4-4F46-46D9-99B8-D35886A00F74}"/>
  </bookViews>
  <sheets>
    <sheet name="Sheet1" sheetId="1" r:id="rId1"/>
  </sheets>
  <definedNames>
    <definedName name="_xlnm._FilterDatabase" localSheetId="0" hidden="1">Sheet1!$A$3:$G$55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25" i="1" l="1"/>
  <c r="I35" i="1"/>
  <c r="C97" i="1"/>
  <c r="C96" i="1"/>
  <c r="C95" i="1"/>
  <c r="C94" i="1"/>
  <c r="C93" i="1"/>
  <c r="I76" i="1"/>
  <c r="I75" i="1"/>
  <c r="I97" i="1"/>
  <c r="I23" i="1"/>
  <c r="I58" i="1"/>
  <c r="I57" i="1"/>
  <c r="I74" i="1"/>
  <c r="I73" i="1"/>
  <c r="I26" i="1"/>
  <c r="I22" i="1"/>
  <c r="I96" i="1"/>
  <c r="I95" i="1"/>
  <c r="I68" i="1"/>
  <c r="I29" i="1"/>
  <c r="I21" i="1"/>
  <c r="I30" i="1"/>
  <c r="I64" i="1"/>
  <c r="I67" i="1"/>
  <c r="I60" i="1"/>
  <c r="I93" i="1"/>
  <c r="C92" i="1"/>
  <c r="I69" i="1"/>
  <c r="I86" i="1"/>
  <c r="I92" i="1"/>
  <c r="I91" i="1"/>
  <c r="C71" i="1"/>
  <c r="C89" i="1"/>
  <c r="C90" i="1"/>
  <c r="C88" i="1"/>
  <c r="C87" i="1"/>
  <c r="C86" i="1"/>
  <c r="C85" i="1"/>
  <c r="C84" i="1"/>
  <c r="C83" i="1"/>
  <c r="C82" i="1"/>
  <c r="C81" i="1"/>
  <c r="C80" i="1"/>
  <c r="C79" i="1"/>
  <c r="C78" i="1"/>
  <c r="C77" i="1"/>
  <c r="C76" i="1"/>
  <c r="C75" i="1"/>
  <c r="C74" i="1"/>
  <c r="C73" i="1"/>
  <c r="C72" i="1"/>
  <c r="C70" i="1"/>
  <c r="C69" i="1"/>
  <c r="C68" i="1"/>
  <c r="C67" i="1"/>
  <c r="C66" i="1"/>
  <c r="C65" i="1"/>
  <c r="C64" i="1"/>
  <c r="C63" i="1"/>
  <c r="C62" i="1"/>
  <c r="C61" i="1"/>
  <c r="C60" i="1"/>
  <c r="C59" i="1"/>
  <c r="C57" i="1"/>
  <c r="C56" i="1"/>
  <c r="C55" i="1"/>
  <c r="C33" i="1"/>
  <c r="C37" i="1"/>
  <c r="C36" i="1"/>
  <c r="C30" i="1"/>
  <c r="C20" i="1"/>
  <c r="C19" i="1"/>
  <c r="C18" i="1"/>
  <c r="C17" i="1"/>
  <c r="C16" i="1"/>
  <c r="C15" i="1"/>
  <c r="C54" i="1"/>
  <c r="C53" i="1"/>
  <c r="C52" i="1"/>
  <c r="C51" i="1"/>
  <c r="C50" i="1"/>
  <c r="C49" i="1"/>
  <c r="C48" i="1"/>
  <c r="C47" i="1"/>
  <c r="C46" i="1"/>
  <c r="C45" i="1"/>
  <c r="C44" i="1"/>
  <c r="C43" i="1"/>
  <c r="C42" i="1"/>
  <c r="C41" i="1"/>
  <c r="C40" i="1"/>
  <c r="C39" i="1"/>
  <c r="C38" i="1"/>
  <c r="C35" i="1"/>
  <c r="C34" i="1"/>
  <c r="C32" i="1"/>
  <c r="C31" i="1"/>
  <c r="C29" i="1"/>
  <c r="C28" i="1"/>
  <c r="C27" i="1"/>
  <c r="C26" i="1"/>
  <c r="C25" i="1"/>
  <c r="C24" i="1"/>
  <c r="C22" i="1"/>
  <c r="C21" i="1"/>
  <c r="C14" i="1"/>
  <c r="C13" i="1"/>
  <c r="C12" i="1"/>
  <c r="C11" i="1"/>
  <c r="C10" i="1"/>
  <c r="C9" i="1"/>
  <c r="C8" i="1"/>
  <c r="C7" i="1"/>
  <c r="C6" i="1"/>
  <c r="C5" i="1"/>
  <c r="C4" i="1"/>
</calcChain>
</file>

<file path=xl/sharedStrings.xml><?xml version="1.0" encoding="utf-8"?>
<sst xmlns="http://schemas.openxmlformats.org/spreadsheetml/2006/main" count="258" uniqueCount="159">
  <si>
    <t>NAMA</t>
  </si>
  <si>
    <t>NO</t>
  </si>
  <si>
    <t>Harga Beli Persatuan</t>
  </si>
  <si>
    <t>Harga Jual Persatuan</t>
  </si>
  <si>
    <t>Kategori</t>
  </si>
  <si>
    <t>Kol Merah</t>
  </si>
  <si>
    <t>Beet root</t>
  </si>
  <si>
    <t>Bunga Kucai</t>
  </si>
  <si>
    <t xml:space="preserve">Lettuce </t>
  </si>
  <si>
    <t>Roman Lettuce</t>
  </si>
  <si>
    <t>Brocoli</t>
  </si>
  <si>
    <t>Bunga Kol</t>
  </si>
  <si>
    <t>Bunga Seng</t>
  </si>
  <si>
    <t>Wong sui</t>
  </si>
  <si>
    <t xml:space="preserve">Celery </t>
  </si>
  <si>
    <t>Baby Kailan</t>
  </si>
  <si>
    <t>Sawi Minyak Shang</t>
  </si>
  <si>
    <t>Sawi Minyak Baby</t>
  </si>
  <si>
    <t>Kailan HK</t>
  </si>
  <si>
    <t>Huai shan</t>
  </si>
  <si>
    <t>Pueleng</t>
  </si>
  <si>
    <t>Xiang mai</t>
  </si>
  <si>
    <t>Jamur Simeji Putih</t>
  </si>
  <si>
    <t>Jamur Shitake</t>
  </si>
  <si>
    <t>Jamur Xinbao</t>
  </si>
  <si>
    <t>Jamur Snow White</t>
  </si>
  <si>
    <t>Jamur Enoki</t>
  </si>
  <si>
    <t>Kacang Arcis</t>
  </si>
  <si>
    <t>Kacang Manis</t>
  </si>
  <si>
    <t xml:space="preserve">Jamur Kuping </t>
  </si>
  <si>
    <t>Bamboo Shoots</t>
  </si>
  <si>
    <t>Wortel</t>
  </si>
  <si>
    <t>Daun Ketumbar</t>
  </si>
  <si>
    <t>Dou Pai</t>
  </si>
  <si>
    <t xml:space="preserve">Tahu Kotak </t>
  </si>
  <si>
    <t>Tahu Telur</t>
  </si>
  <si>
    <t>Sosis Ayam Jofran</t>
  </si>
  <si>
    <t>Sosis Ayam Madu Jofran</t>
  </si>
  <si>
    <t>Ayam S 550-560</t>
  </si>
  <si>
    <t>Ayam S 650-750</t>
  </si>
  <si>
    <t>Chicken S 0.9</t>
  </si>
  <si>
    <t>Chicken 1100</t>
  </si>
  <si>
    <t>Chicken S 1100</t>
  </si>
  <si>
    <t>Chicken S 1200</t>
  </si>
  <si>
    <t>Chicken Feet</t>
  </si>
  <si>
    <t>Chicken Wing 90UP</t>
  </si>
  <si>
    <t>Chicken Breast Bone in</t>
  </si>
  <si>
    <t>Chicken Breast 1 KG</t>
  </si>
  <si>
    <t>Chicken Breast OD 1 KG</t>
  </si>
  <si>
    <t>Chicken Breast Brown</t>
  </si>
  <si>
    <t>Chicken Breast Kulit</t>
  </si>
  <si>
    <t>Chicken Leg Boneless</t>
  </si>
  <si>
    <t>Chicken Meat</t>
  </si>
  <si>
    <t>Chicken Drum Stick</t>
  </si>
  <si>
    <t>Chicken Mid Joint</t>
  </si>
  <si>
    <t>Sosis Ayam Doux Pack</t>
  </si>
  <si>
    <t xml:space="preserve"> Rp        35,000</t>
  </si>
  <si>
    <t xml:space="preserve"> Rp        39,000</t>
  </si>
  <si>
    <t xml:space="preserve"> Rp        64,250</t>
  </si>
  <si>
    <t xml:space="preserve"> Rp        45,857</t>
  </si>
  <si>
    <t xml:space="preserve"> Rp        51,333</t>
  </si>
  <si>
    <t xml:space="preserve"> Rp        51,571</t>
  </si>
  <si>
    <t xml:space="preserve"> Rp        48,000</t>
  </si>
  <si>
    <t xml:space="preserve"> Rp        57,000</t>
  </si>
  <si>
    <t xml:space="preserve"> Rp        13,000</t>
  </si>
  <si>
    <t xml:space="preserve"> Rp        68,000</t>
  </si>
  <si>
    <t xml:space="preserve"> Rp        43,909</t>
  </si>
  <si>
    <t xml:space="preserve"> Rp        65,500</t>
  </si>
  <si>
    <t xml:space="preserve"> Rp        53,000</t>
  </si>
  <si>
    <t xml:space="preserve"> Rp        45,000</t>
  </si>
  <si>
    <t xml:space="preserve"> Rp        58,000</t>
  </si>
  <si>
    <t xml:space="preserve"> Rp   11,900</t>
  </si>
  <si>
    <t xml:space="preserve"> Rp     9,750</t>
  </si>
  <si>
    <t xml:space="preserve"> Rp     7,000</t>
  </si>
  <si>
    <t xml:space="preserve"> Rp   11,033</t>
  </si>
  <si>
    <t xml:space="preserve"> Rp   15,000</t>
  </si>
  <si>
    <t xml:space="preserve"> Rp   13,500</t>
  </si>
  <si>
    <t>Jenis Satuan</t>
  </si>
  <si>
    <t xml:space="preserve"> Rp   16,000</t>
  </si>
  <si>
    <t xml:space="preserve"> Rp   18,000</t>
  </si>
  <si>
    <t xml:space="preserve"> Rp   64,000</t>
  </si>
  <si>
    <t xml:space="preserve"> Rp   60,000</t>
  </si>
  <si>
    <t xml:space="preserve"> Rp   54,000</t>
  </si>
  <si>
    <t xml:space="preserve"> Rp   52,000</t>
  </si>
  <si>
    <t xml:space="preserve"> Rp   50,000</t>
  </si>
  <si>
    <t xml:space="preserve"> Rp   34,000</t>
  </si>
  <si>
    <t xml:space="preserve"> Rp   48,000</t>
  </si>
  <si>
    <t xml:space="preserve"> Rp   51,167</t>
  </si>
  <si>
    <t xml:space="preserve"> Rp   49,917</t>
  </si>
  <si>
    <t xml:space="preserve"> Rp 152,200</t>
  </si>
  <si>
    <t xml:space="preserve"> Rp 111,000</t>
  </si>
  <si>
    <t xml:space="preserve"> Rp   47,000</t>
  </si>
  <si>
    <t xml:space="preserve"> Rp   43,000</t>
  </si>
  <si>
    <t xml:space="preserve"> Rp   45,000</t>
  </si>
  <si>
    <t xml:space="preserve"> Rp   24,250</t>
  </si>
  <si>
    <t>KG</t>
  </si>
  <si>
    <t>PCS</t>
  </si>
  <si>
    <t>-</t>
  </si>
  <si>
    <t>Barcode</t>
  </si>
  <si>
    <t>No</t>
  </si>
  <si>
    <t>Nama-Kategori</t>
  </si>
  <si>
    <t>Sayuran</t>
  </si>
  <si>
    <t>Kacang-Kacangan</t>
  </si>
  <si>
    <t>Umbi &amp; Akar</t>
  </si>
  <si>
    <t>Jamur</t>
  </si>
  <si>
    <t>Produk Olahan</t>
  </si>
  <si>
    <t>Daging Ayam</t>
  </si>
  <si>
    <t>Kode awal Untuk Barcode</t>
  </si>
  <si>
    <t>Buah</t>
  </si>
  <si>
    <t>Jus</t>
  </si>
  <si>
    <t xml:space="preserve"> Rp  67,500</t>
  </si>
  <si>
    <t>QTY</t>
  </si>
  <si>
    <t>Harga Total Stok</t>
  </si>
  <si>
    <t>Data Awal Julia Freshmart</t>
  </si>
  <si>
    <t>Anggur Merah Flame Sedless</t>
  </si>
  <si>
    <t>Anggur Hitam Aust</t>
  </si>
  <si>
    <t>Anggur Hitam Curah a17</t>
  </si>
  <si>
    <t>Apple Strawberry Curah</t>
  </si>
  <si>
    <t>Apple Strawberry Pack</t>
  </si>
  <si>
    <t>Mangga susu Thai</t>
  </si>
  <si>
    <t>Peach Merah Aust</t>
  </si>
  <si>
    <t xml:space="preserve">chery merah chili </t>
  </si>
  <si>
    <t xml:space="preserve">Plam merah aust </t>
  </si>
  <si>
    <t>Netarin Merah aust</t>
  </si>
  <si>
    <t>Bluberry peru 125</t>
  </si>
  <si>
    <t xml:space="preserve">Kelapa coco thumb </t>
  </si>
  <si>
    <t xml:space="preserve">Kesemak </t>
  </si>
  <si>
    <t>Dragon Kuning ecuador</t>
  </si>
  <si>
    <t>Dragon White 14"</t>
  </si>
  <si>
    <t>Dragon White 18"</t>
  </si>
  <si>
    <t xml:space="preserve">Kiwi Merah France </t>
  </si>
  <si>
    <t>Kiwi Gold NZ</t>
  </si>
  <si>
    <t>Kiwi Green NZ</t>
  </si>
  <si>
    <t>Jeruk Bali Merah</t>
  </si>
  <si>
    <t>Golden Pear 30</t>
  </si>
  <si>
    <t>Golden Pear 36</t>
  </si>
  <si>
    <t>Golden Pear pack</t>
  </si>
  <si>
    <t>Pear Nam Sui Lie 36</t>
  </si>
  <si>
    <t>Pear Nam Sui Lie 8</t>
  </si>
  <si>
    <t>Pear Merah pack</t>
  </si>
  <si>
    <t>Delima 11 's</t>
  </si>
  <si>
    <t>Kiwi Gold Pack</t>
  </si>
  <si>
    <t>Pack</t>
  </si>
  <si>
    <t>Hami Melon</t>
  </si>
  <si>
    <t>Kesemak Vakum</t>
  </si>
  <si>
    <t>Lemon</t>
  </si>
  <si>
    <t>Anggur Hijau Muscat</t>
  </si>
  <si>
    <t>Anggur R/G China</t>
  </si>
  <si>
    <t>Plam Queen</t>
  </si>
  <si>
    <t xml:space="preserve"> Rp   10,500</t>
  </si>
  <si>
    <t>Plam Dandi</t>
  </si>
  <si>
    <t>A.C.N</t>
  </si>
  <si>
    <t xml:space="preserve">Anggur Merah Crimson aust </t>
  </si>
  <si>
    <t>Anggur Merah Aus BAG</t>
  </si>
  <si>
    <t>Jamur Oister</t>
  </si>
  <si>
    <t>Avokado Aust</t>
  </si>
  <si>
    <t>Kiwi Gold RRC</t>
  </si>
  <si>
    <t>Kiwi Green RRC</t>
  </si>
  <si>
    <t>Kiwi Merah RRC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</si>
</sst>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[$Rp-421]* #,##0_-;\-[$Rp-421]* #,##0_-;_-[$Rp-421]* &quot;-&quot;_-;_-@_-"/>
    <numFmt numFmtId="172" formatCode="_-[$Rp-421]* #,##0.00_-;\-[$Rp-421]* #,##0.00_-;_-[$Rp-421]* &quot;-&quot;??_-;_-@_-"/>
  </numFmts>
  <fonts count="4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sz val="26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 vertical="center"/>
    </xf>
    <xf numFmtId="164" fontId="0" fillId="0" borderId="1" xfId="0" applyNumberFormat="1" applyBorder="1"/>
    <xf numFmtId="0" fontId="2" fillId="0" borderId="1" xfId="0" applyFont="1" applyBorder="1"/>
    <xf numFmtId="164" fontId="2" fillId="0" borderId="1" xfId="0" applyNumberFormat="1" applyFont="1" applyBorder="1"/>
    <xf numFmtId="0" fontId="1" fillId="0" borderId="1" xfId="0" applyFont="1" applyBorder="1"/>
    <xf numFmtId="164" fontId="1" fillId="0" borderId="1" xfId="0" applyNumberFormat="1" applyFont="1" applyBorder="1"/>
    <xf numFmtId="0" fontId="0" fillId="2" borderId="1" xfId="0" applyFill="1" applyBorder="1"/>
    <xf numFmtId="1" fontId="0" fillId="0" borderId="1" xfId="0" applyNumberFormat="1" applyBorder="1" applyAlignment="1">
      <alignment horizontal="center"/>
    </xf>
    <xf numFmtId="0" fontId="0" fillId="0" borderId="1" xfId="0" applyFill="1" applyBorder="1"/>
    <xf numFmtId="164" fontId="0" fillId="0" borderId="1" xfId="0" applyNumberFormat="1" applyFill="1" applyBorder="1"/>
    <xf numFmtId="1" fontId="0" fillId="0" borderId="1" xfId="0" applyNumberFormat="1" applyFill="1" applyBorder="1" applyAlignment="1">
      <alignment horizontal="center"/>
    </xf>
    <xf numFmtId="0" fontId="0" fillId="0" borderId="0" xfId="0" applyFill="1"/>
    <xf numFmtId="0" fontId="0" fillId="0" borderId="1" xfId="0" applyFill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0" fillId="0" borderId="0" xfId="0"/>
    <xf numFmtId="0" fontId="1" fillId="0" borderId="0" xfId="0" applyFont="1"/>
    <xf numFmtId="0" fontId="1" fillId="2" borderId="1" xfId="0" applyFont="1" applyFill="1" applyBorder="1"/>
    <xf numFmtId="1" fontId="1" fillId="0" borderId="1" xfId="0" applyNumberFormat="1" applyFont="1" applyBorder="1" applyAlignment="1">
      <alignment horizontal="center"/>
    </xf>
    <xf numFmtId="172" fontId="0" fillId="0" borderId="1" xfId="0" applyNumberFormat="1" applyBorder="1"/>
    <xf numFmtId="172" fontId="0" fillId="0" borderId="1" xfId="0" applyNumberFormat="1" applyFill="1" applyBorder="1" applyAlignment="1">
      <alignment horizontal="right"/>
    </xf>
    <xf numFmtId="172" fontId="0" fillId="0" borderId="1" xfId="0" applyNumberFormat="1" applyBorder="1" applyAlignment="1">
      <alignment horizontal="right"/>
    </xf>
    <xf numFmtId="172" fontId="0" fillId="0" borderId="1" xfId="0" applyNumberFormat="1" applyBorder="1" applyAlignment="1"/>
    <xf numFmtId="172" fontId="0" fillId="0" borderId="1" xfId="0" applyNumberFormat="1" applyFill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B553ED-6DB0-46E5-8FD6-E7F4028E5372}">
  <dimension ref="A1:P98"/>
  <sheetViews>
    <sheetView tabSelected="1" zoomScale="104" zoomScaleNormal="104" workbookViewId="0">
      <pane ySplit="3" topLeftCell="A4" activePane="bottomLeft" state="frozen"/>
      <selection pane="bottomLeft" activeCell="B17" sqref="B17"/>
    </sheetView>
  </sheetViews>
  <sheetFormatPr defaultRowHeight="14.25" x14ac:dyDescent="0.45"/>
  <cols>
    <col min="1" max="1" width="3.86328125" bestFit="1" customWidth="1"/>
    <col min="2" max="2" width="24.53125" bestFit="1" customWidth="1"/>
    <col min="3" max="3" width="22.59765625" customWidth="1"/>
    <col min="4" max="5" width="19.3984375" bestFit="1" customWidth="1"/>
    <col min="6" max="6" width="14.265625" customWidth="1"/>
    <col min="7" max="7" width="18.86328125" customWidth="1"/>
    <col min="8" max="8" width="15" customWidth="1"/>
    <col min="9" max="9" width="18.59765625" customWidth="1"/>
    <col min="14" max="14" width="3.59765625" bestFit="1" customWidth="1"/>
    <col min="15" max="15" width="14.3984375" bestFit="1" customWidth="1"/>
    <col min="16" max="16" width="23.86328125" bestFit="1" customWidth="1"/>
  </cols>
  <sheetData>
    <row r="1" spans="1:16" ht="33.4" x14ac:dyDescent="1">
      <c r="F1" s="15" t="s">
        <v>113</v>
      </c>
      <c r="G1" s="15"/>
      <c r="H1" s="15"/>
    </row>
    <row r="3" spans="1:16" ht="29.25" customHeight="1" x14ac:dyDescent="0.45">
      <c r="A3" s="1" t="s">
        <v>1</v>
      </c>
      <c r="B3" s="2" t="s">
        <v>0</v>
      </c>
      <c r="C3" s="2" t="s">
        <v>4</v>
      </c>
      <c r="D3" s="2" t="s">
        <v>2</v>
      </c>
      <c r="E3" s="2" t="s">
        <v>3</v>
      </c>
      <c r="F3" s="2" t="s">
        <v>77</v>
      </c>
      <c r="G3" s="2" t="s">
        <v>98</v>
      </c>
      <c r="H3" s="14" t="s">
        <v>111</v>
      </c>
      <c r="I3" s="14" t="s">
        <v>112</v>
      </c>
      <c r="N3" s="1" t="s">
        <v>99</v>
      </c>
      <c r="O3" s="1" t="s">
        <v>100</v>
      </c>
      <c r="P3" s="1" t="s">
        <v>107</v>
      </c>
    </row>
    <row r="4" spans="1:16" x14ac:dyDescent="0.45">
      <c r="A4" s="8">
        <v>1</v>
      </c>
      <c r="B4" s="1" t="s">
        <v>5</v>
      </c>
      <c r="C4" s="1" t="str">
        <f>O4</f>
        <v>Sayuran</v>
      </c>
      <c r="D4" s="3">
        <v>25000</v>
      </c>
      <c r="E4" s="1" t="s">
        <v>56</v>
      </c>
      <c r="F4" s="1" t="s">
        <v>95</v>
      </c>
      <c r="G4" s="9">
        <v>621110100001</v>
      </c>
      <c r="H4" s="1"/>
      <c r="I4" s="1"/>
      <c r="N4" s="1">
        <v>1</v>
      </c>
      <c r="O4" s="1" t="s">
        <v>101</v>
      </c>
      <c r="P4" s="1">
        <v>6211101</v>
      </c>
    </row>
    <row r="5" spans="1:16" x14ac:dyDescent="0.45">
      <c r="A5" s="8">
        <v>2</v>
      </c>
      <c r="B5" s="1" t="s">
        <v>6</v>
      </c>
      <c r="C5" s="1" t="str">
        <f>O6</f>
        <v>Umbi &amp; Akar</v>
      </c>
      <c r="D5" s="3">
        <v>29000</v>
      </c>
      <c r="E5" s="1" t="s">
        <v>57</v>
      </c>
      <c r="F5" s="1" t="s">
        <v>95</v>
      </c>
      <c r="G5" s="9">
        <v>621110300001</v>
      </c>
      <c r="H5" s="1"/>
      <c r="I5" s="1"/>
      <c r="N5" s="1">
        <v>2</v>
      </c>
      <c r="O5" s="1" t="s">
        <v>102</v>
      </c>
      <c r="P5" s="1">
        <v>6211102</v>
      </c>
    </row>
    <row r="6" spans="1:16" x14ac:dyDescent="0.45">
      <c r="A6" s="8">
        <v>3</v>
      </c>
      <c r="B6" s="4" t="s">
        <v>7</v>
      </c>
      <c r="C6" s="4" t="str">
        <f>O4</f>
        <v>Sayuran</v>
      </c>
      <c r="D6" s="5">
        <v>54250</v>
      </c>
      <c r="E6" s="1" t="s">
        <v>58</v>
      </c>
      <c r="F6" s="1" t="s">
        <v>95</v>
      </c>
      <c r="G6" s="9">
        <v>621110100002</v>
      </c>
      <c r="H6" s="1"/>
      <c r="I6" s="1"/>
      <c r="N6" s="1">
        <v>3</v>
      </c>
      <c r="O6" s="1" t="s">
        <v>103</v>
      </c>
      <c r="P6" s="1">
        <v>6211103</v>
      </c>
    </row>
    <row r="7" spans="1:16" x14ac:dyDescent="0.45">
      <c r="A7" s="8">
        <v>4</v>
      </c>
      <c r="B7" s="4" t="s">
        <v>8</v>
      </c>
      <c r="C7" s="4" t="str">
        <f>O4</f>
        <v>Sayuran</v>
      </c>
      <c r="D7" s="5">
        <v>35857.142857142855</v>
      </c>
      <c r="E7" s="1" t="s">
        <v>59</v>
      </c>
      <c r="F7" s="1" t="s">
        <v>95</v>
      </c>
      <c r="G7" s="9">
        <v>621110100003</v>
      </c>
      <c r="H7" s="1"/>
      <c r="I7" s="1"/>
      <c r="N7" s="1">
        <v>4</v>
      </c>
      <c r="O7" s="1" t="s">
        <v>104</v>
      </c>
      <c r="P7" s="1">
        <v>6211104</v>
      </c>
    </row>
    <row r="8" spans="1:16" x14ac:dyDescent="0.45">
      <c r="A8" s="8">
        <v>5</v>
      </c>
      <c r="B8" s="4" t="s">
        <v>9</v>
      </c>
      <c r="C8" s="4" t="str">
        <f>O4</f>
        <v>Sayuran</v>
      </c>
      <c r="D8" s="5">
        <v>41333.333333333336</v>
      </c>
      <c r="E8" s="1" t="s">
        <v>60</v>
      </c>
      <c r="F8" s="1" t="s">
        <v>95</v>
      </c>
      <c r="G8" s="9">
        <v>621110100004</v>
      </c>
      <c r="H8" s="1"/>
      <c r="I8" s="1"/>
      <c r="N8" s="1">
        <v>5</v>
      </c>
      <c r="O8" s="1" t="s">
        <v>105</v>
      </c>
      <c r="P8" s="1">
        <v>6211105</v>
      </c>
    </row>
    <row r="9" spans="1:16" x14ac:dyDescent="0.45">
      <c r="A9" s="8">
        <v>6</v>
      </c>
      <c r="B9" s="1" t="s">
        <v>10</v>
      </c>
      <c r="C9" s="1" t="str">
        <f>O4</f>
        <v>Sayuran</v>
      </c>
      <c r="D9" s="3">
        <v>41571.428571428572</v>
      </c>
      <c r="E9" s="1" t="s">
        <v>61</v>
      </c>
      <c r="F9" s="1" t="s">
        <v>95</v>
      </c>
      <c r="G9" s="9">
        <v>621110100005</v>
      </c>
      <c r="H9" s="1"/>
      <c r="I9" s="1"/>
      <c r="N9" s="1">
        <v>6</v>
      </c>
      <c r="O9" s="1" t="s">
        <v>106</v>
      </c>
      <c r="P9" s="1">
        <v>6211106</v>
      </c>
    </row>
    <row r="10" spans="1:16" x14ac:dyDescent="0.45">
      <c r="A10" s="8">
        <v>7</v>
      </c>
      <c r="B10" s="1" t="s">
        <v>11</v>
      </c>
      <c r="C10" s="1" t="str">
        <f>O4</f>
        <v>Sayuran</v>
      </c>
      <c r="D10" s="3">
        <v>38000</v>
      </c>
      <c r="E10" s="1" t="s">
        <v>62</v>
      </c>
      <c r="F10" s="1" t="s">
        <v>95</v>
      </c>
      <c r="G10" s="9">
        <v>621110100006</v>
      </c>
      <c r="H10" s="1"/>
      <c r="I10" s="1"/>
      <c r="N10" s="1">
        <v>7</v>
      </c>
      <c r="O10" s="1" t="s">
        <v>108</v>
      </c>
      <c r="P10" s="1">
        <v>6211107</v>
      </c>
    </row>
    <row r="11" spans="1:16" x14ac:dyDescent="0.45">
      <c r="A11" s="8">
        <v>8</v>
      </c>
      <c r="B11" s="4" t="s">
        <v>12</v>
      </c>
      <c r="C11" s="4" t="str">
        <f>O4</f>
        <v>Sayuran</v>
      </c>
      <c r="D11" s="5">
        <v>47000</v>
      </c>
      <c r="E11" s="1" t="s">
        <v>63</v>
      </c>
      <c r="F11" s="1" t="s">
        <v>95</v>
      </c>
      <c r="G11" s="9">
        <v>621110100007</v>
      </c>
      <c r="H11" s="1"/>
      <c r="I11" s="1"/>
      <c r="N11" s="1">
        <v>8</v>
      </c>
      <c r="O11" s="1" t="s">
        <v>109</v>
      </c>
      <c r="P11" s="1">
        <v>6211107</v>
      </c>
    </row>
    <row r="12" spans="1:16" x14ac:dyDescent="0.45">
      <c r="A12" s="8">
        <v>9</v>
      </c>
      <c r="B12" s="6" t="s">
        <v>13</v>
      </c>
      <c r="C12" s="6" t="str">
        <f>O4</f>
        <v>Sayuran</v>
      </c>
      <c r="D12" s="7">
        <v>3000</v>
      </c>
      <c r="E12" s="1" t="s">
        <v>64</v>
      </c>
      <c r="F12" s="1" t="s">
        <v>95</v>
      </c>
      <c r="G12" s="9">
        <v>621110100008</v>
      </c>
      <c r="H12" s="1"/>
      <c r="I12" s="1"/>
    </row>
    <row r="13" spans="1:16" x14ac:dyDescent="0.45">
      <c r="A13" s="8">
        <v>10</v>
      </c>
      <c r="B13" s="6" t="s">
        <v>14</v>
      </c>
      <c r="C13" s="6" t="str">
        <f>O4</f>
        <v>Sayuran</v>
      </c>
      <c r="D13" s="7">
        <v>3000</v>
      </c>
      <c r="E13" s="1" t="s">
        <v>64</v>
      </c>
      <c r="F13" s="1" t="s">
        <v>95</v>
      </c>
      <c r="G13" s="9">
        <v>621110100009</v>
      </c>
      <c r="H13" s="1"/>
      <c r="I13" s="1"/>
    </row>
    <row r="14" spans="1:16" x14ac:dyDescent="0.45">
      <c r="A14" s="8">
        <v>11</v>
      </c>
      <c r="B14" s="1" t="s">
        <v>15</v>
      </c>
      <c r="C14" s="1" t="str">
        <f>O4</f>
        <v>Sayuran</v>
      </c>
      <c r="D14" s="3">
        <v>58000</v>
      </c>
      <c r="E14" s="1" t="s">
        <v>65</v>
      </c>
      <c r="F14" s="1" t="s">
        <v>95</v>
      </c>
      <c r="G14" s="9">
        <v>621110100010</v>
      </c>
      <c r="H14" s="1"/>
      <c r="I14" s="1"/>
    </row>
    <row r="15" spans="1:16" x14ac:dyDescent="0.45">
      <c r="A15" s="8">
        <v>12</v>
      </c>
      <c r="B15" s="1" t="s">
        <v>16</v>
      </c>
      <c r="C15" s="1" t="str">
        <f>O4</f>
        <v>Sayuran</v>
      </c>
      <c r="D15" s="3">
        <v>33909.090909090912</v>
      </c>
      <c r="E15" s="1" t="s">
        <v>66</v>
      </c>
      <c r="F15" s="1" t="s">
        <v>95</v>
      </c>
      <c r="G15" s="9">
        <v>621110100011</v>
      </c>
      <c r="H15" s="1"/>
      <c r="I15" s="1"/>
    </row>
    <row r="16" spans="1:16" x14ac:dyDescent="0.45">
      <c r="A16" s="8">
        <v>13</v>
      </c>
      <c r="B16" s="1" t="s">
        <v>17</v>
      </c>
      <c r="C16" s="1" t="str">
        <f>O4</f>
        <v>Sayuran</v>
      </c>
      <c r="D16" s="3">
        <v>55500</v>
      </c>
      <c r="E16" s="1" t="s">
        <v>67</v>
      </c>
      <c r="F16" s="1" t="s">
        <v>95</v>
      </c>
      <c r="G16" s="9">
        <v>621110100012</v>
      </c>
      <c r="H16" s="1"/>
      <c r="I16" s="1"/>
    </row>
    <row r="17" spans="1:9" x14ac:dyDescent="0.45">
      <c r="A17" s="8">
        <v>14</v>
      </c>
      <c r="B17" s="1" t="s">
        <v>18</v>
      </c>
      <c r="C17" s="1" t="str">
        <f>O4</f>
        <v>Sayuran</v>
      </c>
      <c r="D17" s="3">
        <v>43000</v>
      </c>
      <c r="E17" s="1" t="s">
        <v>68</v>
      </c>
      <c r="F17" s="1" t="s">
        <v>95</v>
      </c>
      <c r="G17" s="9">
        <v>621110100013</v>
      </c>
      <c r="H17" s="1"/>
      <c r="I17" s="1"/>
    </row>
    <row r="18" spans="1:9" x14ac:dyDescent="0.45">
      <c r="A18" s="8">
        <v>15</v>
      </c>
      <c r="B18" s="1" t="s">
        <v>19</v>
      </c>
      <c r="C18" s="1" t="str">
        <f>O4</f>
        <v>Sayuran</v>
      </c>
      <c r="D18" s="3">
        <v>35000</v>
      </c>
      <c r="E18" s="1" t="s">
        <v>69</v>
      </c>
      <c r="F18" s="1" t="s">
        <v>95</v>
      </c>
      <c r="G18" s="9">
        <v>621110100014</v>
      </c>
      <c r="H18" s="1"/>
      <c r="I18" s="1"/>
    </row>
    <row r="19" spans="1:9" x14ac:dyDescent="0.45">
      <c r="A19" s="8">
        <v>16</v>
      </c>
      <c r="B19" s="1" t="s">
        <v>20</v>
      </c>
      <c r="C19" s="1" t="str">
        <f>O4</f>
        <v>Sayuran</v>
      </c>
      <c r="D19" s="3">
        <v>55500</v>
      </c>
      <c r="E19" s="1" t="s">
        <v>67</v>
      </c>
      <c r="F19" s="1" t="s">
        <v>95</v>
      </c>
      <c r="G19" s="9">
        <v>621110100015</v>
      </c>
      <c r="H19" s="1"/>
      <c r="I19" s="1"/>
    </row>
    <row r="20" spans="1:9" x14ac:dyDescent="0.45">
      <c r="A20" s="8">
        <v>17</v>
      </c>
      <c r="B20" s="1" t="s">
        <v>21</v>
      </c>
      <c r="C20" s="1" t="str">
        <f>O4</f>
        <v>Sayuran</v>
      </c>
      <c r="D20" s="3">
        <v>48000</v>
      </c>
      <c r="E20" s="1" t="s">
        <v>70</v>
      </c>
      <c r="F20" s="1" t="s">
        <v>95</v>
      </c>
      <c r="G20" s="9">
        <v>621110100016</v>
      </c>
      <c r="H20" s="1"/>
      <c r="I20" s="1"/>
    </row>
    <row r="21" spans="1:9" x14ac:dyDescent="0.45">
      <c r="A21" s="8">
        <v>18</v>
      </c>
      <c r="B21" s="4" t="s">
        <v>22</v>
      </c>
      <c r="C21" s="4" t="str">
        <f>O7</f>
        <v>Jamur</v>
      </c>
      <c r="D21" s="5">
        <v>8250</v>
      </c>
      <c r="E21" s="1" t="s">
        <v>149</v>
      </c>
      <c r="F21" s="1" t="s">
        <v>96</v>
      </c>
      <c r="G21" s="9">
        <v>621110400001</v>
      </c>
      <c r="H21" s="1">
        <v>40</v>
      </c>
      <c r="I21" s="11">
        <f>D21*H21</f>
        <v>330000</v>
      </c>
    </row>
    <row r="22" spans="1:9" x14ac:dyDescent="0.45">
      <c r="A22" s="8">
        <v>19</v>
      </c>
      <c r="B22" s="4" t="s">
        <v>23</v>
      </c>
      <c r="C22" s="4" t="str">
        <f>O7</f>
        <v>Jamur</v>
      </c>
      <c r="D22" s="5">
        <v>13800</v>
      </c>
      <c r="E22" s="1" t="s">
        <v>78</v>
      </c>
      <c r="F22" s="1" t="s">
        <v>96</v>
      </c>
      <c r="G22" s="9">
        <v>621110400002</v>
      </c>
      <c r="H22" s="1">
        <v>24</v>
      </c>
      <c r="I22" s="3">
        <f>D22*H22</f>
        <v>331200</v>
      </c>
    </row>
    <row r="23" spans="1:9" s="16" customFormat="1" x14ac:dyDescent="0.45">
      <c r="A23" s="8"/>
      <c r="B23" s="1" t="s">
        <v>154</v>
      </c>
      <c r="C23" s="4"/>
      <c r="D23" s="5">
        <v>9400</v>
      </c>
      <c r="E23" s="20">
        <v>12000</v>
      </c>
      <c r="F23" s="1" t="s">
        <v>96</v>
      </c>
      <c r="G23" s="9">
        <v>621110400003</v>
      </c>
      <c r="H23" s="1">
        <v>30</v>
      </c>
      <c r="I23" s="3">
        <f>D23*H23</f>
        <v>282000</v>
      </c>
    </row>
    <row r="24" spans="1:9" s="17" customFormat="1" x14ac:dyDescent="0.45">
      <c r="A24" s="18">
        <v>20</v>
      </c>
      <c r="B24" s="6" t="s">
        <v>24</v>
      </c>
      <c r="C24" s="6" t="str">
        <f>O7</f>
        <v>Jamur</v>
      </c>
      <c r="D24" s="7">
        <v>9400</v>
      </c>
      <c r="E24" s="6" t="s">
        <v>71</v>
      </c>
      <c r="F24" s="6" t="s">
        <v>96</v>
      </c>
      <c r="G24" s="19"/>
      <c r="H24" s="6"/>
      <c r="I24" s="6"/>
    </row>
    <row r="25" spans="1:9" x14ac:dyDescent="0.45">
      <c r="A25" s="8">
        <v>21</v>
      </c>
      <c r="B25" s="1" t="s">
        <v>25</v>
      </c>
      <c r="C25" s="1" t="str">
        <f>O7</f>
        <v>Jamur</v>
      </c>
      <c r="D25" s="3">
        <v>7250</v>
      </c>
      <c r="E25" s="1" t="s">
        <v>72</v>
      </c>
      <c r="F25" s="1" t="s">
        <v>96</v>
      </c>
      <c r="G25" s="9">
        <v>621110400004</v>
      </c>
      <c r="H25" s="1">
        <v>42</v>
      </c>
      <c r="I25" s="3">
        <f>D25*H25</f>
        <v>304500</v>
      </c>
    </row>
    <row r="26" spans="1:9" x14ac:dyDescent="0.45">
      <c r="A26" s="8">
        <v>22</v>
      </c>
      <c r="B26" s="1" t="s">
        <v>26</v>
      </c>
      <c r="C26" s="1" t="str">
        <f>O7</f>
        <v>Jamur</v>
      </c>
      <c r="D26" s="3">
        <v>3800</v>
      </c>
      <c r="E26" s="1" t="s">
        <v>73</v>
      </c>
      <c r="F26" s="1" t="s">
        <v>96</v>
      </c>
      <c r="G26" s="9">
        <v>621110400005</v>
      </c>
      <c r="H26" s="1">
        <v>33</v>
      </c>
      <c r="I26" s="3">
        <f>D26*H26</f>
        <v>125400</v>
      </c>
    </row>
    <row r="27" spans="1:9" x14ac:dyDescent="0.45">
      <c r="A27" s="8">
        <v>23</v>
      </c>
      <c r="B27" s="1" t="s">
        <v>27</v>
      </c>
      <c r="C27" s="1" t="str">
        <f>O5</f>
        <v>Kacang-Kacangan</v>
      </c>
      <c r="D27" s="3">
        <v>8533.3333333333339</v>
      </c>
      <c r="E27" s="1" t="s">
        <v>74</v>
      </c>
      <c r="F27" s="1" t="s">
        <v>96</v>
      </c>
      <c r="G27" s="9">
        <v>621110200001</v>
      </c>
      <c r="H27" s="1"/>
      <c r="I27" s="1"/>
    </row>
    <row r="28" spans="1:9" x14ac:dyDescent="0.45">
      <c r="A28" s="8">
        <v>24</v>
      </c>
      <c r="B28" s="1" t="s">
        <v>28</v>
      </c>
      <c r="C28" s="1" t="str">
        <f>O5</f>
        <v>Kacang-Kacangan</v>
      </c>
      <c r="D28" s="3">
        <v>8533.3333333333339</v>
      </c>
      <c r="E28" s="1" t="s">
        <v>74</v>
      </c>
      <c r="F28" s="1" t="s">
        <v>96</v>
      </c>
      <c r="G28" s="9">
        <v>621110200002</v>
      </c>
      <c r="H28" s="1"/>
      <c r="I28" s="1"/>
    </row>
    <row r="29" spans="1:9" x14ac:dyDescent="0.45">
      <c r="A29" s="8">
        <v>25</v>
      </c>
      <c r="B29" s="1" t="s">
        <v>29</v>
      </c>
      <c r="C29" s="1" t="str">
        <f>O7</f>
        <v>Jamur</v>
      </c>
      <c r="D29" s="3">
        <v>11000</v>
      </c>
      <c r="E29" s="1" t="s">
        <v>75</v>
      </c>
      <c r="F29" s="1" t="s">
        <v>96</v>
      </c>
      <c r="G29" s="9">
        <v>621110400006</v>
      </c>
      <c r="H29" s="1">
        <v>23</v>
      </c>
      <c r="I29" s="3">
        <f>D29*H29</f>
        <v>253000</v>
      </c>
    </row>
    <row r="30" spans="1:9" s="13" customFormat="1" x14ac:dyDescent="0.45">
      <c r="A30" s="8">
        <v>26</v>
      </c>
      <c r="B30" s="10" t="s">
        <v>30</v>
      </c>
      <c r="C30" s="10" t="str">
        <f>O4</f>
        <v>Sayuran</v>
      </c>
      <c r="D30" s="11">
        <v>10500</v>
      </c>
      <c r="E30" s="10" t="s">
        <v>76</v>
      </c>
      <c r="F30" s="10" t="s">
        <v>96</v>
      </c>
      <c r="G30" s="12">
        <v>621110100017</v>
      </c>
      <c r="H30" s="10">
        <v>38</v>
      </c>
      <c r="I30" s="11">
        <f>D30*H30</f>
        <v>399000</v>
      </c>
    </row>
    <row r="31" spans="1:9" x14ac:dyDescent="0.45">
      <c r="A31" s="8">
        <v>27</v>
      </c>
      <c r="B31" s="1" t="s">
        <v>31</v>
      </c>
      <c r="C31" s="1" t="str">
        <f>O4</f>
        <v>Sayuran</v>
      </c>
      <c r="D31" s="3">
        <v>14000</v>
      </c>
      <c r="E31" s="1"/>
      <c r="F31" s="1" t="s">
        <v>95</v>
      </c>
      <c r="G31" s="9">
        <v>621110100018</v>
      </c>
      <c r="H31" s="1"/>
      <c r="I31" s="1"/>
    </row>
    <row r="32" spans="1:9" x14ac:dyDescent="0.45">
      <c r="A32" s="8">
        <v>28</v>
      </c>
      <c r="B32" s="1" t="s">
        <v>32</v>
      </c>
      <c r="C32" s="1" t="str">
        <f>O4</f>
        <v>Sayuran</v>
      </c>
      <c r="D32" s="3">
        <v>0</v>
      </c>
      <c r="E32" s="1" t="s">
        <v>97</v>
      </c>
      <c r="F32" s="1" t="s">
        <v>97</v>
      </c>
      <c r="G32" s="9">
        <v>621110100019</v>
      </c>
      <c r="H32" s="1"/>
      <c r="I32" s="1"/>
    </row>
    <row r="33" spans="1:9" x14ac:dyDescent="0.45">
      <c r="A33" s="8">
        <v>29</v>
      </c>
      <c r="B33" s="1" t="s">
        <v>33</v>
      </c>
      <c r="C33" s="1" t="str">
        <f>O4</f>
        <v>Sayuran</v>
      </c>
      <c r="D33" s="3">
        <v>55500</v>
      </c>
      <c r="E33" s="1" t="s">
        <v>110</v>
      </c>
      <c r="F33" s="1" t="s">
        <v>96</v>
      </c>
      <c r="G33" s="9">
        <v>621110100020</v>
      </c>
      <c r="H33" s="1"/>
      <c r="I33" s="1"/>
    </row>
    <row r="34" spans="1:9" x14ac:dyDescent="0.45">
      <c r="A34" s="8">
        <v>30</v>
      </c>
      <c r="B34" s="1" t="s">
        <v>34</v>
      </c>
      <c r="C34" s="1" t="str">
        <f>O8</f>
        <v>Produk Olahan</v>
      </c>
      <c r="D34" s="3">
        <v>11600</v>
      </c>
      <c r="E34" s="1" t="s">
        <v>78</v>
      </c>
      <c r="F34" s="1" t="s">
        <v>96</v>
      </c>
      <c r="G34" s="9">
        <v>621110500001</v>
      </c>
      <c r="H34" s="1"/>
      <c r="I34" s="1"/>
    </row>
    <row r="35" spans="1:9" x14ac:dyDescent="0.45">
      <c r="A35" s="8">
        <v>31</v>
      </c>
      <c r="B35" s="1" t="s">
        <v>35</v>
      </c>
      <c r="C35" s="1" t="str">
        <f>O8</f>
        <v>Produk Olahan</v>
      </c>
      <c r="D35" s="3">
        <v>4000</v>
      </c>
      <c r="E35" s="1" t="s">
        <v>73</v>
      </c>
      <c r="F35" s="1" t="s">
        <v>96</v>
      </c>
      <c r="G35" s="9">
        <v>621110500002</v>
      </c>
      <c r="H35" s="1">
        <v>179</v>
      </c>
      <c r="I35" s="3">
        <f>D35*H35</f>
        <v>716000</v>
      </c>
    </row>
    <row r="36" spans="1:9" x14ac:dyDescent="0.45">
      <c r="A36" s="8">
        <v>32</v>
      </c>
      <c r="B36" s="1" t="s">
        <v>36</v>
      </c>
      <c r="C36" s="1" t="str">
        <f>O8</f>
        <v>Produk Olahan</v>
      </c>
      <c r="D36" s="3">
        <v>13000</v>
      </c>
      <c r="E36" s="1" t="s">
        <v>79</v>
      </c>
      <c r="F36" s="1" t="s">
        <v>96</v>
      </c>
      <c r="G36" s="9">
        <v>621110500003</v>
      </c>
      <c r="H36" s="1"/>
      <c r="I36" s="1"/>
    </row>
    <row r="37" spans="1:9" x14ac:dyDescent="0.45">
      <c r="A37" s="8">
        <v>33</v>
      </c>
      <c r="B37" s="1" t="s">
        <v>37</v>
      </c>
      <c r="C37" s="1" t="str">
        <f>O8</f>
        <v>Produk Olahan</v>
      </c>
      <c r="D37" s="3">
        <v>13000</v>
      </c>
      <c r="E37" s="1" t="s">
        <v>79</v>
      </c>
      <c r="F37" s="1" t="s">
        <v>96</v>
      </c>
      <c r="G37" s="9">
        <v>621110500004</v>
      </c>
      <c r="H37" s="1"/>
      <c r="I37" s="1"/>
    </row>
    <row r="38" spans="1:9" x14ac:dyDescent="0.45">
      <c r="A38" s="8">
        <v>34</v>
      </c>
      <c r="B38" s="1" t="s">
        <v>38</v>
      </c>
      <c r="C38" s="1" t="str">
        <f>O9</f>
        <v>Daging Ayam</v>
      </c>
      <c r="D38" s="3">
        <v>55000</v>
      </c>
      <c r="E38" s="1" t="s">
        <v>80</v>
      </c>
      <c r="F38" s="1" t="s">
        <v>96</v>
      </c>
      <c r="G38" s="9">
        <v>621110600001</v>
      </c>
      <c r="H38" s="1"/>
      <c r="I38" s="1"/>
    </row>
    <row r="39" spans="1:9" x14ac:dyDescent="0.45">
      <c r="A39" s="8">
        <v>35</v>
      </c>
      <c r="B39" s="1" t="s">
        <v>39</v>
      </c>
      <c r="C39" s="1" t="str">
        <f>O9</f>
        <v>Daging Ayam</v>
      </c>
      <c r="D39" s="3">
        <v>51000</v>
      </c>
      <c r="E39" s="1" t="s">
        <v>81</v>
      </c>
      <c r="F39" s="1" t="s">
        <v>96</v>
      </c>
      <c r="G39" s="9">
        <v>621110600002</v>
      </c>
      <c r="H39" s="1"/>
      <c r="I39" s="1"/>
    </row>
    <row r="40" spans="1:9" x14ac:dyDescent="0.45">
      <c r="A40" s="8">
        <v>36</v>
      </c>
      <c r="B40" s="1" t="s">
        <v>40</v>
      </c>
      <c r="C40" s="1" t="str">
        <f>O9</f>
        <v>Daging Ayam</v>
      </c>
      <c r="D40" s="3">
        <v>45000</v>
      </c>
      <c r="E40" s="1" t="s">
        <v>82</v>
      </c>
      <c r="F40" s="1" t="s">
        <v>96</v>
      </c>
      <c r="G40" s="9">
        <v>621110600003</v>
      </c>
      <c r="H40" s="1"/>
      <c r="I40" s="1"/>
    </row>
    <row r="41" spans="1:9" x14ac:dyDescent="0.45">
      <c r="A41" s="8">
        <v>37</v>
      </c>
      <c r="B41" s="1" t="s">
        <v>41</v>
      </c>
      <c r="C41" s="1" t="str">
        <f>O9</f>
        <v>Daging Ayam</v>
      </c>
      <c r="D41" s="3">
        <v>43000</v>
      </c>
      <c r="E41" s="1" t="s">
        <v>83</v>
      </c>
      <c r="F41" s="1" t="s">
        <v>96</v>
      </c>
      <c r="G41" s="9">
        <v>621110600004</v>
      </c>
      <c r="H41" s="1"/>
      <c r="I41" s="1"/>
    </row>
    <row r="42" spans="1:9" x14ac:dyDescent="0.45">
      <c r="A42" s="8">
        <v>38</v>
      </c>
      <c r="B42" s="1" t="s">
        <v>42</v>
      </c>
      <c r="C42" s="1" t="str">
        <f>O9</f>
        <v>Daging Ayam</v>
      </c>
      <c r="D42" s="3">
        <v>41000</v>
      </c>
      <c r="E42" s="1" t="s">
        <v>84</v>
      </c>
      <c r="F42" s="1" t="s">
        <v>96</v>
      </c>
      <c r="G42" s="9">
        <v>621110600005</v>
      </c>
      <c r="H42" s="1"/>
      <c r="I42" s="1"/>
    </row>
    <row r="43" spans="1:9" x14ac:dyDescent="0.45">
      <c r="A43" s="8">
        <v>39</v>
      </c>
      <c r="B43" s="1" t="s">
        <v>43</v>
      </c>
      <c r="C43" s="1" t="str">
        <f>O9</f>
        <v>Daging Ayam</v>
      </c>
      <c r="D43" s="3">
        <v>41000</v>
      </c>
      <c r="E43" s="1" t="s">
        <v>84</v>
      </c>
      <c r="F43" s="1" t="s">
        <v>96</v>
      </c>
      <c r="G43" s="9">
        <v>621110600006</v>
      </c>
      <c r="H43" s="1"/>
      <c r="I43" s="1"/>
    </row>
    <row r="44" spans="1:9" x14ac:dyDescent="0.45">
      <c r="A44" s="8">
        <v>40</v>
      </c>
      <c r="B44" s="1" t="s">
        <v>44</v>
      </c>
      <c r="C44" s="1" t="str">
        <f>O9</f>
        <v>Daging Ayam</v>
      </c>
      <c r="D44" s="3">
        <v>25000</v>
      </c>
      <c r="E44" s="1" t="s">
        <v>85</v>
      </c>
      <c r="F44" s="1" t="s">
        <v>96</v>
      </c>
      <c r="G44" s="9">
        <v>621110600007</v>
      </c>
      <c r="H44" s="1"/>
      <c r="I44" s="1"/>
    </row>
    <row r="45" spans="1:9" x14ac:dyDescent="0.45">
      <c r="A45" s="8">
        <v>41</v>
      </c>
      <c r="B45" s="1" t="s">
        <v>45</v>
      </c>
      <c r="C45" s="1" t="str">
        <f>O9</f>
        <v>Daging Ayam</v>
      </c>
      <c r="D45" s="3">
        <v>39000</v>
      </c>
      <c r="E45" s="1" t="s">
        <v>86</v>
      </c>
      <c r="F45" s="1" t="s">
        <v>96</v>
      </c>
      <c r="G45" s="9">
        <v>621110600008</v>
      </c>
      <c r="H45" s="1"/>
      <c r="I45" s="1"/>
    </row>
    <row r="46" spans="1:9" x14ac:dyDescent="0.45">
      <c r="A46" s="8">
        <v>42</v>
      </c>
      <c r="B46" s="1" t="s">
        <v>46</v>
      </c>
      <c r="C46" s="1" t="str">
        <f>O9</f>
        <v>Daging Ayam</v>
      </c>
      <c r="D46" s="3">
        <v>39000</v>
      </c>
      <c r="E46" s="1" t="s">
        <v>86</v>
      </c>
      <c r="F46" s="1" t="s">
        <v>96</v>
      </c>
      <c r="G46" s="9">
        <v>621110600009</v>
      </c>
      <c r="H46" s="1"/>
      <c r="I46" s="1"/>
    </row>
    <row r="47" spans="1:9" x14ac:dyDescent="0.45">
      <c r="A47" s="8">
        <v>43</v>
      </c>
      <c r="B47" s="1" t="s">
        <v>47</v>
      </c>
      <c r="C47" s="1" t="str">
        <f>O9</f>
        <v>Daging Ayam</v>
      </c>
      <c r="D47" s="3">
        <v>42166.666666666664</v>
      </c>
      <c r="E47" s="1" t="s">
        <v>87</v>
      </c>
      <c r="F47" s="1" t="s">
        <v>96</v>
      </c>
      <c r="G47" s="9">
        <v>621110600010</v>
      </c>
      <c r="H47" s="1"/>
      <c r="I47" s="1"/>
    </row>
    <row r="48" spans="1:9" x14ac:dyDescent="0.45">
      <c r="A48" s="8">
        <v>44</v>
      </c>
      <c r="B48" s="1" t="s">
        <v>48</v>
      </c>
      <c r="C48" s="1" t="str">
        <f>O9</f>
        <v>Daging Ayam</v>
      </c>
      <c r="D48" s="3">
        <v>40916.666666666664</v>
      </c>
      <c r="E48" s="1" t="s">
        <v>88</v>
      </c>
      <c r="F48" s="1" t="s">
        <v>96</v>
      </c>
      <c r="G48" s="9">
        <v>621110600011</v>
      </c>
      <c r="H48" s="1"/>
      <c r="I48" s="1"/>
    </row>
    <row r="49" spans="1:9" x14ac:dyDescent="0.45">
      <c r="A49" s="8">
        <v>45</v>
      </c>
      <c r="B49" s="1" t="s">
        <v>49</v>
      </c>
      <c r="C49" s="1" t="str">
        <f>O9</f>
        <v>Daging Ayam</v>
      </c>
      <c r="D49" s="3">
        <v>39000</v>
      </c>
      <c r="E49" s="1" t="s">
        <v>86</v>
      </c>
      <c r="F49" s="1" t="s">
        <v>96</v>
      </c>
      <c r="G49" s="9">
        <v>621110600012</v>
      </c>
      <c r="H49" s="1"/>
      <c r="I49" s="1"/>
    </row>
    <row r="50" spans="1:9" x14ac:dyDescent="0.45">
      <c r="A50" s="8">
        <v>46</v>
      </c>
      <c r="B50" s="1" t="s">
        <v>50</v>
      </c>
      <c r="C50" s="1" t="str">
        <f>O9</f>
        <v>Daging Ayam</v>
      </c>
      <c r="D50" s="3">
        <v>143200</v>
      </c>
      <c r="E50" s="1" t="s">
        <v>89</v>
      </c>
      <c r="F50" s="1" t="s">
        <v>96</v>
      </c>
      <c r="G50" s="9">
        <v>621110600013</v>
      </c>
      <c r="H50" s="1"/>
      <c r="I50" s="1"/>
    </row>
    <row r="51" spans="1:9" x14ac:dyDescent="0.45">
      <c r="A51" s="8">
        <v>47</v>
      </c>
      <c r="B51" s="1" t="s">
        <v>51</v>
      </c>
      <c r="C51" s="1" t="str">
        <f>O9</f>
        <v>Daging Ayam</v>
      </c>
      <c r="D51" s="3">
        <v>102000</v>
      </c>
      <c r="E51" s="1" t="s">
        <v>90</v>
      </c>
      <c r="F51" s="1" t="s">
        <v>96</v>
      </c>
      <c r="G51" s="9">
        <v>621110600014</v>
      </c>
      <c r="H51" s="1"/>
      <c r="I51" s="1"/>
    </row>
    <row r="52" spans="1:9" x14ac:dyDescent="0.45">
      <c r="A52" s="8">
        <v>48</v>
      </c>
      <c r="B52" s="1" t="s">
        <v>52</v>
      </c>
      <c r="C52" s="1" t="str">
        <f>O9</f>
        <v>Daging Ayam</v>
      </c>
      <c r="D52" s="3">
        <v>38000</v>
      </c>
      <c r="E52" s="1" t="s">
        <v>91</v>
      </c>
      <c r="F52" s="1" t="s">
        <v>96</v>
      </c>
      <c r="G52" s="9">
        <v>621110600015</v>
      </c>
      <c r="H52" s="1"/>
      <c r="I52" s="1"/>
    </row>
    <row r="53" spans="1:9" x14ac:dyDescent="0.45">
      <c r="A53" s="8">
        <v>49</v>
      </c>
      <c r="B53" s="1" t="s">
        <v>53</v>
      </c>
      <c r="C53" s="1" t="str">
        <f>O9</f>
        <v>Daging Ayam</v>
      </c>
      <c r="D53" s="3">
        <v>34000</v>
      </c>
      <c r="E53" s="1" t="s">
        <v>92</v>
      </c>
      <c r="F53" s="1" t="s">
        <v>96</v>
      </c>
      <c r="G53" s="9">
        <v>621110600016</v>
      </c>
      <c r="H53" s="1"/>
      <c r="I53" s="1"/>
    </row>
    <row r="54" spans="1:9" x14ac:dyDescent="0.45">
      <c r="A54" s="8">
        <v>50</v>
      </c>
      <c r="B54" s="1" t="s">
        <v>54</v>
      </c>
      <c r="C54" s="1" t="str">
        <f>O9</f>
        <v>Daging Ayam</v>
      </c>
      <c r="D54" s="3">
        <v>36000</v>
      </c>
      <c r="E54" s="1" t="s">
        <v>93</v>
      </c>
      <c r="F54" s="1" t="s">
        <v>96</v>
      </c>
      <c r="G54" s="9">
        <v>621110600017</v>
      </c>
      <c r="H54" s="1"/>
      <c r="I54" s="1"/>
    </row>
    <row r="55" spans="1:9" x14ac:dyDescent="0.45">
      <c r="A55" s="8">
        <v>51</v>
      </c>
      <c r="B55" s="1" t="s">
        <v>55</v>
      </c>
      <c r="C55" s="1" t="str">
        <f>O8</f>
        <v>Produk Olahan</v>
      </c>
      <c r="D55" s="3">
        <v>19250</v>
      </c>
      <c r="E55" s="1" t="s">
        <v>94</v>
      </c>
      <c r="F55" s="1" t="s">
        <v>96</v>
      </c>
      <c r="G55" s="9">
        <v>621110500005</v>
      </c>
      <c r="H55" s="1"/>
      <c r="I55" s="1"/>
    </row>
    <row r="56" spans="1:9" x14ac:dyDescent="0.45">
      <c r="A56" s="10">
        <v>52</v>
      </c>
      <c r="B56" s="1" t="s">
        <v>114</v>
      </c>
      <c r="C56" s="1" t="str">
        <f>O10</f>
        <v>Buah</v>
      </c>
      <c r="D56" s="22">
        <v>42500</v>
      </c>
      <c r="E56" s="23">
        <v>47500</v>
      </c>
      <c r="F56" s="10" t="s">
        <v>142</v>
      </c>
      <c r="G56" s="9">
        <v>621110700001</v>
      </c>
      <c r="H56" s="1"/>
      <c r="I56" s="1"/>
    </row>
    <row r="57" spans="1:9" x14ac:dyDescent="0.45">
      <c r="A57" s="10">
        <v>53</v>
      </c>
      <c r="B57" s="1" t="s">
        <v>152</v>
      </c>
      <c r="C57" s="1" t="str">
        <f>O10</f>
        <v>Buah</v>
      </c>
      <c r="D57" s="22">
        <v>30000</v>
      </c>
      <c r="E57" s="23">
        <v>40000</v>
      </c>
      <c r="F57" s="10" t="s">
        <v>142</v>
      </c>
      <c r="G57" s="9">
        <v>621110700002</v>
      </c>
      <c r="H57" s="1">
        <v>8</v>
      </c>
      <c r="I57" s="1">
        <f>E57*H57</f>
        <v>320000</v>
      </c>
    </row>
    <row r="58" spans="1:9" s="16" customFormat="1" x14ac:dyDescent="0.45">
      <c r="A58" s="10"/>
      <c r="B58" s="1" t="s">
        <v>153</v>
      </c>
      <c r="C58" s="1"/>
      <c r="D58" s="22">
        <v>100000</v>
      </c>
      <c r="E58" s="23">
        <v>150000</v>
      </c>
      <c r="F58" s="10" t="s">
        <v>142</v>
      </c>
      <c r="G58" s="9"/>
      <c r="H58" s="1">
        <v>7</v>
      </c>
      <c r="I58" s="1">
        <f>E58*H58</f>
        <v>1050000</v>
      </c>
    </row>
    <row r="59" spans="1:9" x14ac:dyDescent="0.45">
      <c r="A59" s="10">
        <v>54</v>
      </c>
      <c r="B59" s="1" t="s">
        <v>115</v>
      </c>
      <c r="C59" s="1" t="str">
        <f>O10</f>
        <v>Buah</v>
      </c>
      <c r="D59" s="22">
        <v>114111</v>
      </c>
      <c r="E59" s="23">
        <v>124111</v>
      </c>
      <c r="F59" s="10" t="s">
        <v>95</v>
      </c>
      <c r="G59" s="9">
        <v>621110700003</v>
      </c>
      <c r="H59" s="1"/>
      <c r="I59" s="1"/>
    </row>
    <row r="60" spans="1:9" x14ac:dyDescent="0.45">
      <c r="A60" s="10">
        <v>55</v>
      </c>
      <c r="B60" s="1" t="s">
        <v>116</v>
      </c>
      <c r="C60" s="1" t="str">
        <f>O10</f>
        <v>Buah</v>
      </c>
      <c r="D60" s="22">
        <v>18000</v>
      </c>
      <c r="E60" s="23">
        <v>22000</v>
      </c>
      <c r="F60" s="10" t="s">
        <v>142</v>
      </c>
      <c r="G60" s="9">
        <v>621110700004</v>
      </c>
      <c r="H60" s="1">
        <v>16</v>
      </c>
      <c r="I60" s="1">
        <f>D60*H60</f>
        <v>288000</v>
      </c>
    </row>
    <row r="61" spans="1:9" x14ac:dyDescent="0.45">
      <c r="A61" s="10">
        <v>56</v>
      </c>
      <c r="B61" s="1" t="s">
        <v>117</v>
      </c>
      <c r="C61" s="1" t="str">
        <f>O10</f>
        <v>Buah</v>
      </c>
      <c r="D61" s="22">
        <v>47444</v>
      </c>
      <c r="E61" s="23">
        <v>57444</v>
      </c>
      <c r="F61" s="10" t="s">
        <v>95</v>
      </c>
      <c r="G61" s="9">
        <v>621110700005</v>
      </c>
      <c r="H61" s="1"/>
      <c r="I61" s="1"/>
    </row>
    <row r="62" spans="1:9" x14ac:dyDescent="0.45">
      <c r="A62" s="10">
        <v>57</v>
      </c>
      <c r="B62" s="1" t="s">
        <v>118</v>
      </c>
      <c r="C62" s="1" t="str">
        <f>O10</f>
        <v>Buah</v>
      </c>
      <c r="D62" s="22">
        <v>26500</v>
      </c>
      <c r="E62" s="23">
        <v>31500</v>
      </c>
      <c r="F62" s="10" t="s">
        <v>142</v>
      </c>
      <c r="G62" s="9">
        <v>621110700006</v>
      </c>
      <c r="H62" s="1"/>
      <c r="I62" s="1"/>
    </row>
    <row r="63" spans="1:9" x14ac:dyDescent="0.45">
      <c r="A63" s="10">
        <v>58</v>
      </c>
      <c r="B63" s="1" t="s">
        <v>119</v>
      </c>
      <c r="C63" s="1" t="str">
        <f>O10</f>
        <v>Buah</v>
      </c>
      <c r="D63" s="22">
        <v>28000</v>
      </c>
      <c r="E63" s="23">
        <v>43000</v>
      </c>
      <c r="F63" s="10" t="s">
        <v>95</v>
      </c>
      <c r="G63" s="9">
        <v>621110700007</v>
      </c>
      <c r="H63" s="1"/>
      <c r="I63" s="1"/>
    </row>
    <row r="64" spans="1:9" x14ac:dyDescent="0.45">
      <c r="A64" s="10">
        <v>59</v>
      </c>
      <c r="B64" s="1" t="s">
        <v>120</v>
      </c>
      <c r="C64" s="1" t="str">
        <f>O10</f>
        <v>Buah</v>
      </c>
      <c r="D64" s="22">
        <v>15300</v>
      </c>
      <c r="E64" s="23">
        <v>25000</v>
      </c>
      <c r="F64" s="10" t="s">
        <v>96</v>
      </c>
      <c r="G64" s="9">
        <v>621110700008</v>
      </c>
      <c r="H64" s="1">
        <v>23</v>
      </c>
      <c r="I64" s="1">
        <f>D64*H64</f>
        <v>351900</v>
      </c>
    </row>
    <row r="65" spans="1:9" x14ac:dyDescent="0.45">
      <c r="A65" s="10">
        <v>60</v>
      </c>
      <c r="B65" s="1" t="s">
        <v>121</v>
      </c>
      <c r="C65" s="1" t="str">
        <f>O10</f>
        <v>Buah</v>
      </c>
      <c r="D65" s="22">
        <v>331000</v>
      </c>
      <c r="E65" s="23">
        <v>341000</v>
      </c>
      <c r="F65" s="10" t="s">
        <v>95</v>
      </c>
      <c r="G65" s="9">
        <v>621110700009</v>
      </c>
      <c r="H65" s="1"/>
      <c r="I65" s="1"/>
    </row>
    <row r="66" spans="1:9" x14ac:dyDescent="0.45">
      <c r="A66" s="10">
        <v>61</v>
      </c>
      <c r="B66" s="1" t="s">
        <v>122</v>
      </c>
      <c r="C66" s="1" t="str">
        <f>O10</f>
        <v>Buah</v>
      </c>
      <c r="D66" s="22">
        <v>66158</v>
      </c>
      <c r="E66" s="23">
        <v>76158</v>
      </c>
      <c r="F66" s="10" t="s">
        <v>95</v>
      </c>
      <c r="G66" s="9">
        <v>621110700010</v>
      </c>
      <c r="H66" s="1"/>
      <c r="I66" s="1"/>
    </row>
    <row r="67" spans="1:9" x14ac:dyDescent="0.45">
      <c r="A67" s="10">
        <v>62</v>
      </c>
      <c r="B67" s="1" t="s">
        <v>123</v>
      </c>
      <c r="C67" s="1" t="str">
        <f>O10</f>
        <v>Buah</v>
      </c>
      <c r="D67" s="22">
        <v>63000</v>
      </c>
      <c r="E67" s="23">
        <v>80000</v>
      </c>
      <c r="F67" s="10" t="s">
        <v>95</v>
      </c>
      <c r="G67" s="9">
        <v>621110700011</v>
      </c>
      <c r="H67" s="1">
        <v>10</v>
      </c>
      <c r="I67" s="1">
        <f>D67*H67</f>
        <v>630000</v>
      </c>
    </row>
    <row r="68" spans="1:9" x14ac:dyDescent="0.45">
      <c r="A68" s="10">
        <v>63</v>
      </c>
      <c r="B68" s="1" t="s">
        <v>124</v>
      </c>
      <c r="C68" s="1" t="str">
        <f>O10</f>
        <v>Buah</v>
      </c>
      <c r="D68" s="22">
        <v>32167</v>
      </c>
      <c r="E68" s="23">
        <v>45000</v>
      </c>
      <c r="F68" s="10" t="s">
        <v>142</v>
      </c>
      <c r="G68" s="9">
        <v>621110700012</v>
      </c>
      <c r="H68" s="1">
        <v>12</v>
      </c>
      <c r="I68" s="1">
        <f>E68*H68</f>
        <v>540000</v>
      </c>
    </row>
    <row r="69" spans="1:9" x14ac:dyDescent="0.45">
      <c r="A69" s="10">
        <v>64</v>
      </c>
      <c r="B69" s="1" t="s">
        <v>125</v>
      </c>
      <c r="C69" s="1" t="str">
        <f>O10</f>
        <v>Buah</v>
      </c>
      <c r="D69" s="22">
        <v>33833</v>
      </c>
      <c r="E69" s="23">
        <v>40000</v>
      </c>
      <c r="F69" s="10" t="s">
        <v>142</v>
      </c>
      <c r="G69" s="9">
        <v>621110700013</v>
      </c>
      <c r="H69" s="1">
        <v>11</v>
      </c>
      <c r="I69" s="1">
        <f>D69*H69</f>
        <v>372163</v>
      </c>
    </row>
    <row r="70" spans="1:9" x14ac:dyDescent="0.45">
      <c r="A70" s="10">
        <v>65</v>
      </c>
      <c r="B70" s="1" t="s">
        <v>126</v>
      </c>
      <c r="C70" s="1" t="str">
        <f>O10</f>
        <v>Buah</v>
      </c>
      <c r="D70" s="22">
        <v>9300</v>
      </c>
      <c r="E70" s="23">
        <v>15000</v>
      </c>
      <c r="F70" s="10" t="s">
        <v>95</v>
      </c>
      <c r="G70" s="9">
        <v>621110700014</v>
      </c>
      <c r="H70" s="1"/>
      <c r="I70" s="1"/>
    </row>
    <row r="71" spans="1:9" s="16" customFormat="1" x14ac:dyDescent="0.45">
      <c r="A71" s="10">
        <v>66</v>
      </c>
      <c r="B71" s="1" t="s">
        <v>144</v>
      </c>
      <c r="C71" s="1" t="str">
        <f>O10</f>
        <v>Buah</v>
      </c>
      <c r="D71" s="22">
        <v>10000</v>
      </c>
      <c r="E71" s="23">
        <v>15000</v>
      </c>
      <c r="F71" s="10" t="s">
        <v>96</v>
      </c>
      <c r="G71" s="9">
        <v>621110700015</v>
      </c>
      <c r="H71" s="1">
        <v>29</v>
      </c>
      <c r="I71" s="1">
        <v>290000</v>
      </c>
    </row>
    <row r="72" spans="1:9" x14ac:dyDescent="0.45">
      <c r="A72" s="10">
        <v>67</v>
      </c>
      <c r="B72" s="1" t="s">
        <v>127</v>
      </c>
      <c r="C72" s="1" t="str">
        <f>O10</f>
        <v>Buah</v>
      </c>
      <c r="D72" s="22">
        <v>53000</v>
      </c>
      <c r="E72" s="23">
        <v>60000</v>
      </c>
      <c r="F72" s="10" t="s">
        <v>142</v>
      </c>
      <c r="G72" s="9">
        <v>621110700016</v>
      </c>
      <c r="H72" s="1"/>
      <c r="I72" s="1"/>
    </row>
    <row r="73" spans="1:9" x14ac:dyDescent="0.45">
      <c r="A73" s="10">
        <v>68</v>
      </c>
      <c r="B73" s="1" t="s">
        <v>128</v>
      </c>
      <c r="C73" s="1" t="str">
        <f>O10</f>
        <v>Buah</v>
      </c>
      <c r="D73" s="22">
        <v>24429</v>
      </c>
      <c r="E73" s="23">
        <v>30000</v>
      </c>
      <c r="F73" s="10" t="s">
        <v>96</v>
      </c>
      <c r="G73" s="9">
        <v>621110700017</v>
      </c>
      <c r="H73" s="1">
        <v>14</v>
      </c>
      <c r="I73" s="1">
        <f>D73*H73</f>
        <v>342006</v>
      </c>
    </row>
    <row r="74" spans="1:9" x14ac:dyDescent="0.45">
      <c r="A74" s="10">
        <v>69</v>
      </c>
      <c r="B74" s="1" t="s">
        <v>129</v>
      </c>
      <c r="C74" s="1" t="str">
        <f>O10</f>
        <v>Buah</v>
      </c>
      <c r="D74" s="22">
        <v>19667</v>
      </c>
      <c r="E74" s="23">
        <v>25000</v>
      </c>
      <c r="F74" s="10" t="s">
        <v>142</v>
      </c>
      <c r="G74" s="9">
        <v>621110700018</v>
      </c>
      <c r="H74" s="1">
        <v>18</v>
      </c>
      <c r="I74" s="1">
        <f>D74*H74</f>
        <v>354006</v>
      </c>
    </row>
    <row r="75" spans="1:9" x14ac:dyDescent="0.45">
      <c r="A75" s="10">
        <v>70</v>
      </c>
      <c r="B75" s="1" t="s">
        <v>158</v>
      </c>
      <c r="C75" s="1" t="str">
        <f>O10</f>
        <v>Buah</v>
      </c>
      <c r="D75" s="22">
        <v>31333</v>
      </c>
      <c r="E75" s="23">
        <v>45000</v>
      </c>
      <c r="F75" s="10" t="s">
        <v>142</v>
      </c>
      <c r="G75" s="9">
        <v>621110700019</v>
      </c>
      <c r="H75" s="1">
        <v>12</v>
      </c>
      <c r="I75" s="1">
        <f>D75*H75</f>
        <v>375996</v>
      </c>
    </row>
    <row r="76" spans="1:9" x14ac:dyDescent="0.45">
      <c r="A76" s="10">
        <v>71</v>
      </c>
      <c r="B76" s="1" t="s">
        <v>156</v>
      </c>
      <c r="C76" s="1" t="str">
        <f>O10</f>
        <v>Buah</v>
      </c>
      <c r="D76" s="22">
        <v>31333</v>
      </c>
      <c r="E76" s="23">
        <v>45000</v>
      </c>
      <c r="F76" s="10" t="s">
        <v>142</v>
      </c>
      <c r="G76" s="9">
        <v>621110700020</v>
      </c>
      <c r="H76" s="1">
        <v>20</v>
      </c>
      <c r="I76" s="1">
        <f>D76*H76</f>
        <v>626660</v>
      </c>
    </row>
    <row r="77" spans="1:9" x14ac:dyDescent="0.45">
      <c r="A77" s="10">
        <v>72</v>
      </c>
      <c r="B77" s="1" t="s">
        <v>157</v>
      </c>
      <c r="C77" s="1" t="str">
        <f>O10</f>
        <v>Buah</v>
      </c>
      <c r="D77" s="22"/>
      <c r="E77" s="23"/>
      <c r="F77" s="1"/>
      <c r="G77" s="9">
        <v>621110700021</v>
      </c>
      <c r="H77" s="1"/>
      <c r="I77" s="1"/>
    </row>
    <row r="78" spans="1:9" x14ac:dyDescent="0.45">
      <c r="A78" s="10">
        <v>73</v>
      </c>
      <c r="B78" s="1" t="s">
        <v>130</v>
      </c>
      <c r="C78" s="1" t="str">
        <f>O10</f>
        <v>Buah</v>
      </c>
      <c r="D78" s="22">
        <v>83000</v>
      </c>
      <c r="E78" s="23">
        <v>95000</v>
      </c>
      <c r="F78" s="10" t="s">
        <v>142</v>
      </c>
      <c r="G78" s="9">
        <v>621110700022</v>
      </c>
      <c r="H78" s="1"/>
      <c r="I78" s="1"/>
    </row>
    <row r="79" spans="1:9" x14ac:dyDescent="0.45">
      <c r="A79" s="10">
        <v>74</v>
      </c>
      <c r="B79" s="1" t="s">
        <v>131</v>
      </c>
      <c r="C79" s="1" t="str">
        <f>O10</f>
        <v>Buah</v>
      </c>
      <c r="D79" s="22">
        <v>18327</v>
      </c>
      <c r="E79" s="23">
        <v>25000</v>
      </c>
      <c r="F79" s="10" t="s">
        <v>142</v>
      </c>
      <c r="G79" s="9">
        <v>621110700023</v>
      </c>
      <c r="H79" s="1"/>
      <c r="I79" s="1"/>
    </row>
    <row r="80" spans="1:9" x14ac:dyDescent="0.45">
      <c r="A80" s="10">
        <v>75</v>
      </c>
      <c r="B80" s="1" t="s">
        <v>132</v>
      </c>
      <c r="C80" s="1" t="str">
        <f>O10</f>
        <v>Buah</v>
      </c>
      <c r="D80" s="22">
        <v>11269</v>
      </c>
      <c r="E80" s="23">
        <v>14000</v>
      </c>
      <c r="F80" s="10" t="s">
        <v>142</v>
      </c>
      <c r="G80" s="9">
        <v>621110700024</v>
      </c>
      <c r="H80" s="1"/>
      <c r="I80" s="1"/>
    </row>
    <row r="81" spans="1:9" x14ac:dyDescent="0.45">
      <c r="A81" s="10">
        <v>76</v>
      </c>
      <c r="B81" s="1" t="s">
        <v>133</v>
      </c>
      <c r="C81" s="1" t="str">
        <f>O10</f>
        <v>Buah</v>
      </c>
      <c r="D81" s="22">
        <v>46750</v>
      </c>
      <c r="E81" s="23">
        <v>60000</v>
      </c>
      <c r="F81" s="10" t="s">
        <v>142</v>
      </c>
      <c r="G81" s="9">
        <v>621110700025</v>
      </c>
      <c r="H81" s="1"/>
      <c r="I81" s="1"/>
    </row>
    <row r="82" spans="1:9" x14ac:dyDescent="0.45">
      <c r="A82" s="10">
        <v>77</v>
      </c>
      <c r="B82" s="1" t="s">
        <v>134</v>
      </c>
      <c r="C82" s="1" t="str">
        <f>O10</f>
        <v>Buah</v>
      </c>
      <c r="D82" s="22">
        <v>16333</v>
      </c>
      <c r="E82" s="23">
        <v>20000</v>
      </c>
      <c r="F82" s="10" t="s">
        <v>142</v>
      </c>
      <c r="G82" s="9">
        <v>621110700026</v>
      </c>
      <c r="H82" s="1"/>
      <c r="I82" s="1"/>
    </row>
    <row r="83" spans="1:9" x14ac:dyDescent="0.45">
      <c r="A83" s="10">
        <v>78</v>
      </c>
      <c r="B83" s="1" t="s">
        <v>135</v>
      </c>
      <c r="C83" s="1" t="str">
        <f>O10</f>
        <v>Buah</v>
      </c>
      <c r="D83" s="22">
        <v>13944</v>
      </c>
      <c r="E83" s="23">
        <v>18000</v>
      </c>
      <c r="F83" s="10" t="s">
        <v>142</v>
      </c>
      <c r="G83" s="9">
        <v>621110700027</v>
      </c>
      <c r="H83" s="1"/>
      <c r="I83" s="1"/>
    </row>
    <row r="84" spans="1:9" x14ac:dyDescent="0.45">
      <c r="A84" s="10">
        <v>79</v>
      </c>
      <c r="B84" s="1" t="s">
        <v>136</v>
      </c>
      <c r="C84" s="1" t="str">
        <f>O10</f>
        <v>Buah</v>
      </c>
      <c r="D84" s="22">
        <v>48100</v>
      </c>
      <c r="E84" s="23">
        <v>55000</v>
      </c>
      <c r="F84" s="10" t="s">
        <v>142</v>
      </c>
      <c r="G84" s="9">
        <v>621110700028</v>
      </c>
      <c r="H84" s="1"/>
      <c r="I84" s="1"/>
    </row>
    <row r="85" spans="1:9" x14ac:dyDescent="0.45">
      <c r="A85" s="10">
        <v>80</v>
      </c>
      <c r="B85" s="1" t="s">
        <v>137</v>
      </c>
      <c r="C85" s="1" t="str">
        <f>O10</f>
        <v>Buah</v>
      </c>
      <c r="D85" s="22">
        <v>750</v>
      </c>
      <c r="E85" s="23">
        <v>55000</v>
      </c>
      <c r="F85" s="10" t="s">
        <v>142</v>
      </c>
      <c r="G85" s="9">
        <v>621110700029</v>
      </c>
      <c r="H85" s="1"/>
      <c r="I85" s="1"/>
    </row>
    <row r="86" spans="1:9" x14ac:dyDescent="0.45">
      <c r="A86" s="10">
        <v>81</v>
      </c>
      <c r="B86" s="1" t="s">
        <v>138</v>
      </c>
      <c r="C86" s="1" t="str">
        <f>O10</f>
        <v>Buah</v>
      </c>
      <c r="D86" s="21">
        <v>30000</v>
      </c>
      <c r="E86" s="24">
        <v>40000</v>
      </c>
      <c r="F86" s="10" t="s">
        <v>96</v>
      </c>
      <c r="G86" s="1"/>
      <c r="H86" s="1">
        <v>8</v>
      </c>
      <c r="I86" s="1">
        <f>D86*H86</f>
        <v>240000</v>
      </c>
    </row>
    <row r="87" spans="1:9" x14ac:dyDescent="0.45">
      <c r="A87" s="10">
        <v>82</v>
      </c>
      <c r="B87" s="1" t="s">
        <v>139</v>
      </c>
      <c r="C87" s="1" t="str">
        <f>O10</f>
        <v>Buah</v>
      </c>
      <c r="D87" s="22">
        <v>48000</v>
      </c>
      <c r="E87" s="23">
        <v>55000</v>
      </c>
      <c r="F87" s="10" t="s">
        <v>142</v>
      </c>
      <c r="G87" s="9">
        <v>621110700031</v>
      </c>
      <c r="H87" s="1"/>
      <c r="I87" s="1"/>
    </row>
    <row r="88" spans="1:9" x14ac:dyDescent="0.45">
      <c r="A88" s="10">
        <v>83</v>
      </c>
      <c r="B88" s="1" t="s">
        <v>140</v>
      </c>
      <c r="C88" s="1" t="str">
        <f>O10</f>
        <v>Buah</v>
      </c>
      <c r="D88" s="22">
        <v>19364</v>
      </c>
      <c r="E88" s="23">
        <v>21864</v>
      </c>
      <c r="F88" s="10" t="s">
        <v>142</v>
      </c>
      <c r="G88" s="9">
        <v>621110700032</v>
      </c>
      <c r="H88" s="1"/>
      <c r="I88" s="1"/>
    </row>
    <row r="89" spans="1:9" x14ac:dyDescent="0.45">
      <c r="A89" s="10">
        <v>84</v>
      </c>
      <c r="B89" s="1" t="s">
        <v>141</v>
      </c>
      <c r="C89" s="1" t="str">
        <f>O10</f>
        <v>Buah</v>
      </c>
      <c r="D89" s="22">
        <v>21833</v>
      </c>
      <c r="E89" s="23">
        <v>30000</v>
      </c>
      <c r="F89" s="10" t="s">
        <v>142</v>
      </c>
      <c r="G89" s="9">
        <v>621110700033</v>
      </c>
      <c r="H89" s="1"/>
      <c r="I89" s="1"/>
    </row>
    <row r="90" spans="1:9" x14ac:dyDescent="0.45">
      <c r="A90" s="10">
        <v>85</v>
      </c>
      <c r="B90" s="10" t="s">
        <v>143</v>
      </c>
      <c r="C90" s="1" t="str">
        <f>C89</f>
        <v>Buah</v>
      </c>
      <c r="D90" s="20">
        <v>59000</v>
      </c>
      <c r="E90" s="23">
        <v>80000</v>
      </c>
      <c r="F90" s="10" t="s">
        <v>96</v>
      </c>
      <c r="G90" s="9">
        <v>621110700034</v>
      </c>
      <c r="H90" s="1">
        <v>24</v>
      </c>
      <c r="I90" s="1">
        <v>1416000</v>
      </c>
    </row>
    <row r="91" spans="1:9" x14ac:dyDescent="0.45">
      <c r="A91" s="10">
        <v>86</v>
      </c>
      <c r="B91" s="10" t="s">
        <v>145</v>
      </c>
      <c r="C91" s="1" t="s">
        <v>108</v>
      </c>
      <c r="D91" s="21">
        <v>6000</v>
      </c>
      <c r="E91" s="24">
        <v>7000</v>
      </c>
      <c r="F91" s="10" t="s">
        <v>96</v>
      </c>
      <c r="G91" s="1"/>
      <c r="H91" s="1">
        <v>75</v>
      </c>
      <c r="I91" s="1">
        <f>D91*H91</f>
        <v>450000</v>
      </c>
    </row>
    <row r="92" spans="1:9" x14ac:dyDescent="0.45">
      <c r="A92" s="10">
        <v>87</v>
      </c>
      <c r="B92" s="10" t="s">
        <v>146</v>
      </c>
      <c r="C92" s="1" t="str">
        <f>O10</f>
        <v>Buah</v>
      </c>
      <c r="D92" s="21">
        <v>29000</v>
      </c>
      <c r="E92" s="24">
        <v>35000</v>
      </c>
      <c r="F92" s="10" t="s">
        <v>142</v>
      </c>
      <c r="G92" s="1"/>
      <c r="H92" s="1">
        <v>68</v>
      </c>
      <c r="I92" s="1">
        <f>D92*H92</f>
        <v>1972000</v>
      </c>
    </row>
    <row r="93" spans="1:9" x14ac:dyDescent="0.45">
      <c r="A93" s="10">
        <v>88</v>
      </c>
      <c r="B93" s="10" t="s">
        <v>147</v>
      </c>
      <c r="C93" s="1" t="str">
        <f>O10</f>
        <v>Buah</v>
      </c>
      <c r="D93" s="21">
        <v>21000</v>
      </c>
      <c r="E93" s="24">
        <v>35000</v>
      </c>
      <c r="F93" s="10" t="s">
        <v>142</v>
      </c>
      <c r="G93" s="1"/>
      <c r="H93" s="1">
        <v>3</v>
      </c>
      <c r="I93" s="1">
        <f>D93*H93</f>
        <v>63000</v>
      </c>
    </row>
    <row r="94" spans="1:9" x14ac:dyDescent="0.45">
      <c r="A94" s="10">
        <v>89</v>
      </c>
      <c r="B94" s="10" t="s">
        <v>148</v>
      </c>
      <c r="C94" s="1" t="str">
        <f>O10</f>
        <v>Buah</v>
      </c>
      <c r="D94" s="21">
        <v>180000</v>
      </c>
      <c r="E94" s="24">
        <v>200000</v>
      </c>
      <c r="F94" s="10" t="s">
        <v>95</v>
      </c>
      <c r="G94" s="1"/>
      <c r="H94" s="1"/>
      <c r="I94" s="1"/>
    </row>
    <row r="95" spans="1:9" x14ac:dyDescent="0.45">
      <c r="A95" s="10">
        <v>90</v>
      </c>
      <c r="B95" s="10" t="s">
        <v>150</v>
      </c>
      <c r="C95" s="1" t="str">
        <f>O10</f>
        <v>Buah</v>
      </c>
      <c r="D95" s="21">
        <v>95000</v>
      </c>
      <c r="E95" s="24">
        <v>115000</v>
      </c>
      <c r="F95" s="10" t="s">
        <v>95</v>
      </c>
      <c r="G95" s="1"/>
      <c r="H95" s="1">
        <v>9.5</v>
      </c>
      <c r="I95" s="1">
        <f>D95*H95</f>
        <v>902500</v>
      </c>
    </row>
    <row r="96" spans="1:9" x14ac:dyDescent="0.45">
      <c r="A96" s="10">
        <v>91</v>
      </c>
      <c r="B96" s="10" t="s">
        <v>151</v>
      </c>
      <c r="C96" s="1" t="str">
        <f>O10</f>
        <v>Buah</v>
      </c>
      <c r="D96" s="21">
        <v>15000</v>
      </c>
      <c r="E96" s="24">
        <v>25000</v>
      </c>
      <c r="F96" s="10" t="s">
        <v>96</v>
      </c>
      <c r="G96" s="1"/>
      <c r="H96" s="10">
        <v>24</v>
      </c>
      <c r="I96" s="10">
        <f>D96*H96</f>
        <v>360000</v>
      </c>
    </row>
    <row r="97" spans="1:9" x14ac:dyDescent="0.45">
      <c r="A97" s="10">
        <v>92</v>
      </c>
      <c r="B97" s="10" t="s">
        <v>155</v>
      </c>
      <c r="C97" s="1" t="str">
        <f>O10</f>
        <v>Buah</v>
      </c>
      <c r="D97" s="21">
        <v>21000</v>
      </c>
      <c r="E97" s="24">
        <v>25000</v>
      </c>
      <c r="F97" s="1"/>
      <c r="G97" s="1"/>
      <c r="H97" s="10">
        <v>55</v>
      </c>
      <c r="I97" s="10">
        <f>D97*H97</f>
        <v>1155000</v>
      </c>
    </row>
    <row r="98" spans="1:9" x14ac:dyDescent="0.45">
      <c r="A98" s="10">
        <v>93</v>
      </c>
    </row>
  </sheetData>
  <autoFilter ref="A3:G55" xr:uid="{72B553ED-6DB0-46E5-8FD6-E7F4028E5372}"/>
  <mergeCells count="1">
    <mergeCell ref="F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FERNANDO NURZAMAN</dc:creator>
  <cp:lastModifiedBy>FERNANDO NURZAMAN</cp:lastModifiedBy>
  <dcterms:created xsi:type="dcterms:W3CDTF">2026-01-24T01:15:35Z</dcterms:created>
  <dcterms:modified xsi:type="dcterms:W3CDTF">2026-01-24T06:51:21Z</dcterms:modified>
</cp:coreProperties>
</file>